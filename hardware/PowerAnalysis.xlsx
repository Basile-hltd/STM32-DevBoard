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il\Documents\STM32-DevBoard\hardware\"/>
    </mc:Choice>
  </mc:AlternateContent>
  <xr:revisionPtr revIDLastSave="0" documentId="13_ncr:1_{857F9F9A-0426-47CF-9F65-749045261A45}" xr6:coauthVersionLast="47" xr6:coauthVersionMax="47" xr10:uidLastSave="{00000000-0000-0000-0000-000000000000}"/>
  <bookViews>
    <workbookView xWindow="38280" yWindow="-120" windowWidth="38640" windowHeight="21840" xr2:uid="{3B3DE9BE-2F8E-46C0-8D75-E5C5003871D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6" i="1" l="1"/>
  <c r="Q5" i="1"/>
  <c r="Q4" i="1"/>
  <c r="T3" i="1"/>
  <c r="F14" i="1"/>
  <c r="E14" i="1"/>
  <c r="F13" i="1"/>
  <c r="F12" i="1"/>
  <c r="F9" i="1"/>
  <c r="F10" i="1"/>
  <c r="F11" i="1"/>
  <c r="F8" i="1"/>
  <c r="F6" i="1"/>
  <c r="F7" i="1"/>
  <c r="F5" i="1"/>
  <c r="E6" i="1"/>
  <c r="E4" i="1"/>
  <c r="F4" i="1"/>
  <c r="Q6" i="1" l="1"/>
  <c r="U3" i="1"/>
  <c r="I3" i="1"/>
  <c r="J3" i="1"/>
</calcChain>
</file>

<file path=xl/sharedStrings.xml><?xml version="1.0" encoding="utf-8"?>
<sst xmlns="http://schemas.openxmlformats.org/spreadsheetml/2006/main" count="29" uniqueCount="22">
  <si>
    <t>Name</t>
  </si>
  <si>
    <t>Total</t>
  </si>
  <si>
    <t>Power [mW]</t>
  </si>
  <si>
    <t>Current[mA]</t>
  </si>
  <si>
    <t>V</t>
  </si>
  <si>
    <t>mA</t>
  </si>
  <si>
    <t>mW</t>
  </si>
  <si>
    <t>I2C</t>
  </si>
  <si>
    <t>STM32</t>
  </si>
  <si>
    <t>BOOT0</t>
  </si>
  <si>
    <t>Screen</t>
  </si>
  <si>
    <t>Alim LED</t>
  </si>
  <si>
    <t>SGP40</t>
  </si>
  <si>
    <t>HDC1080</t>
  </si>
  <si>
    <t>MS5607</t>
  </si>
  <si>
    <t>TP8485</t>
  </si>
  <si>
    <t>LED RJ45</t>
  </si>
  <si>
    <t>Encodeur</t>
  </si>
  <si>
    <t>VBUS</t>
  </si>
  <si>
    <t>Led RGB</t>
  </si>
  <si>
    <t>Led Alim</t>
  </si>
  <si>
    <t>AP211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</si>
</sst>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506C-B11C-4042-BE9C-4AE4AB8C880D}">
  <dimension ref="B1:U14"/>
  <sheetViews>
    <sheetView tabSelected="1" workbookViewId="0">
      <selection activeCell="Y15" sqref="Y15"/>
    </sheetView>
  </sheetViews>
  <sheetFormatPr baseColWidth="10" defaultRowHeight="20.100000000000001" customHeight="1" x14ac:dyDescent="0.25"/>
  <cols>
    <col min="1" max="4" width="11.42578125" style="1"/>
    <col min="5" max="5" width="17.42578125" style="1" customWidth="1"/>
    <col min="6" max="6" width="21.7109375" style="1" customWidth="1"/>
    <col min="7" max="16384" width="11.42578125" style="1"/>
  </cols>
  <sheetData>
    <row r="1" spans="2:21" ht="20.100000000000001" customHeight="1" x14ac:dyDescent="0.25">
      <c r="M1" s="1" t="s">
        <v>18</v>
      </c>
    </row>
    <row r="2" spans="2:21" ht="20.100000000000001" customHeight="1" x14ac:dyDescent="0.25">
      <c r="B2" s="3">
        <v>3.3</v>
      </c>
      <c r="C2" s="2" t="s">
        <v>4</v>
      </c>
      <c r="I2" s="1" t="s">
        <v>5</v>
      </c>
      <c r="J2" s="1" t="s">
        <v>6</v>
      </c>
      <c r="M2" s="3">
        <v>5</v>
      </c>
      <c r="N2" s="2" t="s">
        <v>4</v>
      </c>
      <c r="T2" s="1" t="s">
        <v>5</v>
      </c>
      <c r="U2" s="1" t="s">
        <v>6</v>
      </c>
    </row>
    <row r="3" spans="2:21" ht="20.100000000000001" customHeight="1" x14ac:dyDescent="0.25">
      <c r="D3" s="1" t="s">
        <v>0</v>
      </c>
      <c r="E3" s="1" t="s">
        <v>3</v>
      </c>
      <c r="F3" s="1" t="s">
        <v>2</v>
      </c>
      <c r="H3" s="1" t="s">
        <v>1</v>
      </c>
      <c r="I3" s="1">
        <f>SUM(E:E)</f>
        <v>140.553</v>
      </c>
      <c r="J3" s="1">
        <f>SUM(F:F)</f>
        <v>463.82489999999996</v>
      </c>
      <c r="O3" s="1" t="s">
        <v>0</v>
      </c>
      <c r="P3" s="1" t="s">
        <v>3</v>
      </c>
      <c r="Q3" s="1" t="s">
        <v>2</v>
      </c>
      <c r="S3" s="1" t="s">
        <v>1</v>
      </c>
      <c r="T3" s="1">
        <f>SUM(P:P)</f>
        <v>160.613</v>
      </c>
      <c r="U3" s="1">
        <f>SUM(Q:Q)</f>
        <v>803.06500000000005</v>
      </c>
    </row>
    <row r="4" spans="2:21" ht="20.100000000000001" customHeight="1" x14ac:dyDescent="0.25">
      <c r="D4" s="1" t="s">
        <v>7</v>
      </c>
      <c r="E4" s="1">
        <f>2*B2/3300 * 1000</f>
        <v>2</v>
      </c>
      <c r="F4" s="1">
        <f>E4*$B$2</f>
        <v>6.6</v>
      </c>
      <c r="O4" s="1" t="s">
        <v>19</v>
      </c>
      <c r="P4" s="1">
        <v>15</v>
      </c>
      <c r="Q4" s="1">
        <f>P4*$M$2</f>
        <v>75</v>
      </c>
    </row>
    <row r="5" spans="2:21" ht="20.100000000000001" customHeight="1" x14ac:dyDescent="0.25">
      <c r="D5" s="1" t="s">
        <v>8</v>
      </c>
      <c r="E5" s="1">
        <v>100</v>
      </c>
      <c r="F5" s="1">
        <f>E5*$B$2</f>
        <v>330</v>
      </c>
      <c r="O5" s="1" t="s">
        <v>20</v>
      </c>
      <c r="P5" s="1">
        <v>5</v>
      </c>
      <c r="Q5" s="1">
        <f t="shared" ref="Q5:Q6" si="0">P5*$M$2</f>
        <v>25</v>
      </c>
    </row>
    <row r="6" spans="2:21" ht="20.100000000000001" customHeight="1" x14ac:dyDescent="0.25">
      <c r="D6" s="1" t="s">
        <v>9</v>
      </c>
      <c r="E6" s="1">
        <f>B2/10000 * 1000</f>
        <v>0.33</v>
      </c>
      <c r="F6" s="1">
        <f>E6*$B$2</f>
        <v>1.089</v>
      </c>
      <c r="O6" s="1" t="s">
        <v>21</v>
      </c>
      <c r="P6" s="1">
        <f>0.06+I3</f>
        <v>140.613</v>
      </c>
      <c r="Q6" s="1">
        <f t="shared" si="0"/>
        <v>703.06500000000005</v>
      </c>
    </row>
    <row r="7" spans="2:21" ht="20.100000000000001" customHeight="1" x14ac:dyDescent="0.25">
      <c r="D7" s="1" t="s">
        <v>10</v>
      </c>
      <c r="E7" s="1">
        <v>25</v>
      </c>
      <c r="F7" s="1">
        <f>E7*$B$2</f>
        <v>82.5</v>
      </c>
    </row>
    <row r="8" spans="2:21" ht="20.100000000000001" customHeight="1" x14ac:dyDescent="0.25">
      <c r="D8" s="1" t="s">
        <v>11</v>
      </c>
      <c r="E8" s="1">
        <v>5</v>
      </c>
      <c r="F8" s="1">
        <f>E8*$B$2</f>
        <v>16.5</v>
      </c>
    </row>
    <row r="9" spans="2:21" ht="20.100000000000001" customHeight="1" x14ac:dyDescent="0.25">
      <c r="D9" s="1" t="s">
        <v>12</v>
      </c>
      <c r="E9" s="1">
        <v>3</v>
      </c>
      <c r="F9" s="1">
        <f t="shared" ref="F9:F14" si="1">E9*$B$2</f>
        <v>9.8999999999999986</v>
      </c>
    </row>
    <row r="10" spans="2:21" ht="20.100000000000001" customHeight="1" x14ac:dyDescent="0.25">
      <c r="D10" s="1" t="s">
        <v>13</v>
      </c>
      <c r="E10" s="1">
        <v>0.22</v>
      </c>
      <c r="F10" s="1">
        <f t="shared" si="1"/>
        <v>0.72599999999999998</v>
      </c>
    </row>
    <row r="11" spans="2:21" ht="20.100000000000001" customHeight="1" x14ac:dyDescent="0.25">
      <c r="D11" s="1" t="s">
        <v>14</v>
      </c>
      <c r="E11" s="1">
        <v>1.2999999999999999E-2</v>
      </c>
      <c r="F11" s="1">
        <f t="shared" si="1"/>
        <v>4.2899999999999994E-2</v>
      </c>
    </row>
    <row r="12" spans="2:21" ht="20.100000000000001" customHeight="1" x14ac:dyDescent="0.25">
      <c r="D12" s="1" t="s">
        <v>15</v>
      </c>
      <c r="E12" s="1">
        <v>1</v>
      </c>
      <c r="F12" s="1">
        <f t="shared" si="1"/>
        <v>3.3</v>
      </c>
    </row>
    <row r="13" spans="2:21" ht="20.100000000000001" customHeight="1" x14ac:dyDescent="0.25">
      <c r="D13" s="1" t="s">
        <v>16</v>
      </c>
      <c r="E13" s="1">
        <v>3</v>
      </c>
      <c r="F13" s="1">
        <f t="shared" si="1"/>
        <v>9.8999999999999986</v>
      </c>
    </row>
    <row r="14" spans="2:21" ht="20.100000000000001" customHeight="1" x14ac:dyDescent="0.25">
      <c r="D14" s="1" t="s">
        <v>17</v>
      </c>
      <c r="E14" s="1">
        <f>3*0.33</f>
        <v>0.99</v>
      </c>
      <c r="F14" s="1">
        <f t="shared" si="1"/>
        <v>3.2669999999999999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Hiltpold Basile</dc:creator>
  <cp:lastModifiedBy>Hiltpold Basile</cp:lastModifiedBy>
  <dcterms:created xsi:type="dcterms:W3CDTF">2026-06-07T09:45:30Z</dcterms:created>
  <dcterms:modified xsi:type="dcterms:W3CDTF">2026-06-07T10:33:15Z</dcterms:modified>
</cp:coreProperties>
</file>